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sd00753572_techmahindra_com/Documents/Desktop/EON Germany/"/>
    </mc:Choice>
  </mc:AlternateContent>
  <xr:revisionPtr revIDLastSave="14" documentId="8_{89922309-D94F-4E88-BD78-5758C98E2033}" xr6:coauthVersionLast="47" xr6:coauthVersionMax="47" xr10:uidLastSave="{7C32C6E8-E99C-4465-B20F-B75A052903CC}"/>
  <bookViews>
    <workbookView xWindow="-120" yWindow="-120" windowWidth="20730" windowHeight="11040" xr2:uid="{00000000-000D-0000-FFFF-FFFF00000000}"/>
  </bookViews>
  <sheets>
    <sheet name="Quality Evaluation Form" sheetId="1" r:id="rId1"/>
    <sheet name="Process Flow Mapping" sheetId="2" r:id="rId2"/>
    <sheet name="Fracture Point Analysis" sheetId="3" r:id="rId3"/>
    <sheet name="Criticality Mapping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F14" i="4"/>
  <c r="F13" i="4"/>
  <c r="F12" i="4"/>
  <c r="F11" i="4"/>
  <c r="F10" i="4"/>
  <c r="F9" i="4"/>
  <c r="F8" i="4"/>
  <c r="F7" i="4"/>
  <c r="F6" i="4"/>
  <c r="F5" i="4"/>
  <c r="F4" i="4"/>
  <c r="F3" i="4"/>
  <c r="F2" i="4"/>
  <c r="I15" i="1"/>
  <c r="I12" i="1"/>
  <c r="I11" i="1"/>
  <c r="I10" i="1"/>
  <c r="I9" i="1"/>
  <c r="I8" i="1"/>
  <c r="I7" i="1"/>
  <c r="I6" i="1"/>
  <c r="I5" i="1"/>
  <c r="I4" i="1"/>
  <c r="I3" i="1"/>
  <c r="I2" i="1"/>
  <c r="I14" i="1" l="1"/>
  <c r="I16" i="1" s="1"/>
  <c r="I17" i="1" s="1"/>
</calcChain>
</file>

<file path=xl/sharedStrings.xml><?xml version="1.0" encoding="utf-8"?>
<sst xmlns="http://schemas.openxmlformats.org/spreadsheetml/2006/main" count="207" uniqueCount="156">
  <si>
    <t>Step</t>
  </si>
  <si>
    <t>Evaluation Criteria</t>
  </si>
  <si>
    <t>Criticality</t>
  </si>
  <si>
    <t>Weightage</t>
  </si>
  <si>
    <t>Comments</t>
  </si>
  <si>
    <t>Guidance</t>
  </si>
  <si>
    <t>Weighted Score</t>
  </si>
  <si>
    <t>Pass</t>
  </si>
  <si>
    <t>Covers all aspect</t>
  </si>
  <si>
    <t>Greeting clarity and professionalism</t>
  </si>
  <si>
    <t>Fatal</t>
  </si>
  <si>
    <t>Must include GDPR notice and company name</t>
  </si>
  <si>
    <t>Fail</t>
  </si>
  <si>
    <t>Fails to cover all aspects</t>
  </si>
  <si>
    <t>Identity verification (DPA) after purpose disclosure</t>
  </si>
  <si>
    <t>Verify only after explaining purpose</t>
  </si>
  <si>
    <t>Clear explanation of call purpose</t>
  </si>
  <si>
    <t>Non-Fatal</t>
  </si>
  <si>
    <t>Confirm and restate customer’s intent</t>
  </si>
  <si>
    <t>Complete and structured questioning</t>
  </si>
  <si>
    <t>Minor</t>
  </si>
  <si>
    <t>Use structured, relevant questions</t>
  </si>
  <si>
    <t>Addressing customer’s issue or reason</t>
  </si>
  <si>
    <t>Tailor response to customer’s concern</t>
  </si>
  <si>
    <t>Use of clear and professional language</t>
  </si>
  <si>
    <t>Avoid slang, use clear and polite language</t>
  </si>
  <si>
    <t>Transparent rate/process explanation</t>
  </si>
  <si>
    <t>Explain changes, fees, and process clearly</t>
  </si>
  <si>
    <t>Explicit consent for callback and contact use</t>
  </si>
  <si>
    <t>Ask for permission before follow-up</t>
  </si>
  <si>
    <t>Retention efforts (if applicable)</t>
  </si>
  <si>
    <t>Offer value-based options respectfully</t>
  </si>
  <si>
    <t>Adherence to process and accuracy</t>
  </si>
  <si>
    <t>Follow E.ON’s process and regulatory steps</t>
  </si>
  <si>
    <t>Professional and complete call closure</t>
  </si>
  <si>
    <t>Recap next steps and thank the customer</t>
  </si>
  <si>
    <t>Total Weighted Score</t>
  </si>
  <si>
    <t>Sum of Weights</t>
  </si>
  <si>
    <t>Normalized Score (0-5)</t>
  </si>
  <si>
    <t>Percentage Score (%)</t>
  </si>
  <si>
    <t>Note: Weighted Score = (Weightage * Rating) / 5; Ratings and Weightage on 0-5 scale via Column E and Column D respectively. Normalized Score = (Total Weighted Score / Sum of Weights) * 5; Percentage Score = Normalized Score / 5 * 100.</t>
  </si>
  <si>
    <t>Call Stages</t>
  </si>
  <si>
    <t>Process Flow</t>
  </si>
  <si>
    <t>What is Expected?</t>
  </si>
  <si>
    <t>What Happened? (Example)</t>
  </si>
  <si>
    <t>Call Initiation</t>
  </si>
  <si>
    <t>Greets and confirms call is recorded</t>
  </si>
  <si>
    <t>Clear greeting, mention of E.ON, GDPR-compliant call recording notice, professional tone</t>
  </si>
  <si>
    <t>“Hello, thank you for calling E.ON Energy. This call is being recorded…”</t>
  </si>
  <si>
    <t>Customer Verification</t>
  </si>
  <si>
    <t>Confirms identity and authority</t>
  </si>
  <si>
    <t>Verifies identity after explaining GDPR purpose; confirms authority if third party</t>
  </si>
  <si>
    <t>“To comply with data protection, may I confirm your address?”</t>
  </si>
  <si>
    <t>Purpose of Call Explained</t>
  </si>
  <si>
    <t>Clarifies if customer wants to renew or cancel</t>
  </si>
  <si>
    <t>Clear, concise confirmation of purpose</t>
  </si>
  <si>
    <t>“I understand you’re calling to renew your plan.”</t>
  </si>
  <si>
    <t>Customer Engagement</t>
  </si>
  <si>
    <t>Customer explains issue; agent listens and responds</t>
  </si>
  <si>
    <t>Active listening, empathy, patience, structured questioning</t>
  </si>
  <si>
    <t>“I understand your concern about the high bills…”</t>
  </si>
  <si>
    <t>Service Discussion</t>
  </si>
  <si>
    <t>Agent checks usage, explains options or cancellation process</t>
  </si>
  <si>
    <t>Product knowledge, relevance, transparency, tailored options</t>
  </si>
  <si>
    <t>“You’ve used 30% more energy; here are two plans that suit your needs…”</t>
  </si>
  <si>
    <t>Rate/Process Explanation</t>
  </si>
  <si>
    <t>Explains rate changes or cancellation steps</t>
  </si>
  <si>
    <t>Transparency, accuracy, no pressure, GDPR and regulatory compliance</t>
  </si>
  <si>
    <t>“Your previous rate expired; new rates reflect market changes…”</t>
  </si>
  <si>
    <t>Retention Offer</t>
  </si>
  <si>
    <t>Offers discount or alternative plan if appropriate</t>
  </si>
  <si>
    <t>Respectful tone, optional offer, no pressure</t>
  </si>
  <si>
    <t>“We can offer a 10% discount if you stay with us…”</t>
  </si>
  <si>
    <t>Customer Decision</t>
  </si>
  <si>
    <t>Customer confirms renewal or cancellation</t>
  </si>
  <si>
    <t>Flexibility, clear next steps, documentation of consent</t>
  </si>
  <si>
    <t>“I’ll call you back at 6 PM as agreed.”</t>
  </si>
  <si>
    <t>Call Closure</t>
  </si>
  <si>
    <t>Agent ends call</t>
  </si>
  <si>
    <t>Courteous, confirms next steps, thanks customer</t>
  </si>
  <si>
    <t>“Thank you for choosing E.ON. Have a great day!”</t>
  </si>
  <si>
    <t>Interaction Segment</t>
  </si>
  <si>
    <t>Fracture Point</t>
  </si>
  <si>
    <t>Risk/Impact</t>
  </si>
  <si>
    <t>Mitigation Strategy</t>
  </si>
  <si>
    <t>“Hello, thank you for calling E.ON…”</t>
  </si>
  <si>
    <t>Unclear greeting</t>
  </si>
  <si>
    <t>Confusion, GDPR breach risk</t>
  </si>
  <si>
    <t>Use standardized greeting with company name and GDPR notice</t>
  </si>
  <si>
    <t>“Is this [Name]?”</t>
  </si>
  <si>
    <t>Verification without consent</t>
  </si>
  <si>
    <t>Privacy breach, trust erosion</t>
  </si>
  <si>
    <t>Explain purpose before verifying identity</t>
  </si>
  <si>
    <t>“I want to renew/cancel…”</t>
  </si>
  <si>
    <t>Unclear purpose</t>
  </si>
  <si>
    <t>Customer uncertainty</t>
  </si>
  <si>
    <t>Confirm and restate purpose of call</t>
  </si>
  <si>
    <t>“How many accounts are…”</t>
  </si>
  <si>
    <t>Incomplete question</t>
  </si>
  <si>
    <t>Miscommunication</t>
  </si>
  <si>
    <t>Use structured, complete questions</t>
  </si>
  <si>
    <t>“Can I call you back at this number?”</t>
  </si>
  <si>
    <t>Assumption of consent</t>
  </si>
  <si>
    <t>GDPR risk, customer discomfort</t>
  </si>
  <si>
    <t>Ask for explicit permission for follow-up</t>
  </si>
  <si>
    <t>“What’s it gonna take to renew…”</t>
  </si>
  <si>
    <t>Non-uniform phrasing</t>
  </si>
  <si>
    <t>Customer confusion</t>
  </si>
  <si>
    <t>Use clear, professional language</t>
  </si>
  <si>
    <t>“Rate you had is no longer available…”</t>
  </si>
  <si>
    <t>Rate/process disclosure without clarity</t>
  </si>
  <si>
    <t>Customer apprehension, trust erosion</t>
  </si>
  <si>
    <t>Provide transparent rationale and options</t>
  </si>
  <si>
    <t>“Call me back tomorrow…”</t>
  </si>
  <si>
    <t>Customer communication</t>
  </si>
  <si>
    <t>Missed opportunity</t>
  </si>
  <si>
    <t>Offer flexible scheduling and confirm follow-up</t>
  </si>
  <si>
    <t>“When is it expire…”</t>
  </si>
  <si>
    <t>Poor grammar and clarity</t>
  </si>
  <si>
    <t>Misunderstanding</t>
  </si>
  <si>
    <t>Use grammatically correct, clear phrasing</t>
  </si>
  <si>
    <t>“Just bear with me…”</t>
  </si>
  <si>
    <t>Unclear hold procedure</t>
  </si>
  <si>
    <t>Frustration, hang-up risk</t>
  </si>
  <si>
    <t>Inform customer of hold time and reason</t>
  </si>
  <si>
    <t>“Take care…”</t>
  </si>
  <si>
    <t>Abrupt closure</t>
  </si>
  <si>
    <t>Missed confirmation, poor final impression</t>
  </si>
  <si>
    <t>End with summary and next steps</t>
  </si>
  <si>
    <t>Impact on Customer</t>
  </si>
  <si>
    <t>Reason</t>
  </si>
  <si>
    <t>Confusion, unprofessional tone</t>
  </si>
  <si>
    <t>Weak opening affects credibility and GDPR compliance</t>
  </si>
  <si>
    <t>High-risk issues that can lead to compliance violations, loss of customer trust, or regulatory consequences.</t>
  </si>
  <si>
    <t>Identity confirmed before explaining call purpose</t>
  </si>
  <si>
    <t>Affect customer satisfaction, clarity, or operational efficiency, but are not immediately non-compliant.</t>
  </si>
  <si>
    <t>Unexplained purpose of call</t>
  </si>
  <si>
    <t>Uncertainty, disengagement</t>
  </si>
  <si>
    <t>Customer unsure why they are being contacted</t>
  </si>
  <si>
    <t>Low-risk but still affect the overall polish and customer experience.</t>
  </si>
  <si>
    <t>Disrupted flow</t>
  </si>
  <si>
    <t>Affects conversation smoothness</t>
  </si>
  <si>
    <t>Assumption of consent to call back</t>
  </si>
  <si>
    <t>Legal risk, customer discomfort</t>
  </si>
  <si>
    <t>No explicit permission to use contact number</t>
  </si>
  <si>
    <t>Informal or unclear language reduces clarity</t>
  </si>
  <si>
    <t>Poor retention, churn risk</t>
  </si>
  <si>
    <t>Lack of transparency may lead to complaints or loss of trust</t>
  </si>
  <si>
    <t>Customer communication not handled</t>
  </si>
  <si>
    <t>Could have offered a scheduled callback</t>
  </si>
  <si>
    <t>Reduces professionalism and may confuse the customer</t>
  </si>
  <si>
    <t>Frustration</t>
  </si>
  <si>
    <t>Lack of clarity on hold time or reason</t>
  </si>
  <si>
    <t>Incomplete resolution</t>
  </si>
  <si>
    <t>No summary or confirmation of next steps</t>
  </si>
  <si>
    <t>Assessment Score (0-5)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</si>
</sst>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0" borderId="1" xfId="0" applyFont="1" applyBorder="1" applyAlignment="1">
      <alignment horizontal="center" vertical="top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10" fontId="0" fillId="0" borderId="1" xfId="0" applyNumberFormat="1" applyBorder="1"/>
    <xf numFmtId="10" fontId="4" fillId="0" borderId="0" xfId="0" applyNumberFormat="1" applyFont="1" applyAlignment="1">
      <alignment vertical="center"/>
    </xf>
    <xf numFmtId="2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topLeftCell="B1" workbookViewId="0">
      <selection activeCell="E9" sqref="E9"/>
    </sheetView>
  </sheetViews>
  <sheetFormatPr defaultRowHeight="15" x14ac:dyDescent="0.25"/>
  <cols>
    <col min="2" max="2" width="47.28515625" bestFit="1" customWidth="1"/>
    <col min="3" max="3" width="9.7109375" bestFit="1" customWidth="1"/>
    <col min="4" max="4" width="10.7109375" bestFit="1" customWidth="1"/>
    <col min="5" max="5" width="24" customWidth="1"/>
    <col min="6" max="6" width="10.5703125" bestFit="1" customWidth="1"/>
    <col min="7" max="7" width="42.42578125" bestFit="1" customWidth="1"/>
    <col min="8" max="8" width="21.5703125" bestFit="1" customWidth="1"/>
    <col min="9" max="9" width="15.28515625" bestFit="1" customWidth="1"/>
    <col min="10" max="10" width="11.7109375" bestFit="1" customWidth="1"/>
    <col min="11" max="11" width="4.85546875" bestFit="1" customWidth="1"/>
    <col min="12" max="12" width="22.5703125" bestFit="1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155</v>
      </c>
      <c r="F1" s="7" t="s">
        <v>4</v>
      </c>
      <c r="G1" s="7" t="s">
        <v>5</v>
      </c>
      <c r="I1" s="7" t="s">
        <v>6</v>
      </c>
      <c r="K1" s="3" t="s">
        <v>7</v>
      </c>
      <c r="L1" s="5" t="s">
        <v>8</v>
      </c>
    </row>
    <row r="2" spans="1:12" ht="16.5" customHeight="1" x14ac:dyDescent="0.25">
      <c r="A2" s="1">
        <v>1</v>
      </c>
      <c r="B2" s="1" t="s">
        <v>9</v>
      </c>
      <c r="C2" s="1" t="s">
        <v>10</v>
      </c>
      <c r="D2" s="8">
        <v>0.12</v>
      </c>
      <c r="E2" s="11"/>
      <c r="F2" s="1"/>
      <c r="G2" s="1" t="s">
        <v>11</v>
      </c>
      <c r="I2" s="9" t="str">
        <f t="shared" ref="I2:I12" si="0">IF(AND(ISNUMBER($D2),ISNUMBER($E2)), $D2 * $E2 / 5, "")</f>
        <v/>
      </c>
      <c r="K2" s="4" t="s">
        <v>12</v>
      </c>
      <c r="L2" s="1" t="s">
        <v>13</v>
      </c>
    </row>
    <row r="3" spans="1:12" x14ac:dyDescent="0.25">
      <c r="A3" s="1">
        <v>2</v>
      </c>
      <c r="B3" s="1" t="s">
        <v>14</v>
      </c>
      <c r="C3" s="1" t="s">
        <v>10</v>
      </c>
      <c r="D3" s="8">
        <v>0.12</v>
      </c>
      <c r="E3" s="11"/>
      <c r="F3" s="1"/>
      <c r="G3" s="1" t="s">
        <v>15</v>
      </c>
      <c r="I3" s="8" t="str">
        <f t="shared" si="0"/>
        <v/>
      </c>
    </row>
    <row r="4" spans="1:12" x14ac:dyDescent="0.25">
      <c r="A4" s="1">
        <v>3</v>
      </c>
      <c r="B4" s="1" t="s">
        <v>16</v>
      </c>
      <c r="C4" s="1" t="s">
        <v>17</v>
      </c>
      <c r="D4" s="8">
        <v>7.0000000000000007E-2</v>
      </c>
      <c r="E4" s="11"/>
      <c r="F4" s="1"/>
      <c r="G4" s="1" t="s">
        <v>18</v>
      </c>
      <c r="I4" s="8" t="str">
        <f t="shared" si="0"/>
        <v/>
      </c>
    </row>
    <row r="5" spans="1:12" x14ac:dyDescent="0.25">
      <c r="A5" s="1">
        <v>4</v>
      </c>
      <c r="B5" s="1" t="s">
        <v>19</v>
      </c>
      <c r="C5" s="1" t="s">
        <v>20</v>
      </c>
      <c r="D5" s="8">
        <v>0.05</v>
      </c>
      <c r="E5" s="11"/>
      <c r="F5" s="1"/>
      <c r="G5" s="1" t="s">
        <v>21</v>
      </c>
      <c r="I5" s="8" t="str">
        <f t="shared" si="0"/>
        <v/>
      </c>
    </row>
    <row r="6" spans="1:12" x14ac:dyDescent="0.25">
      <c r="A6" s="1">
        <v>5</v>
      </c>
      <c r="B6" s="1" t="s">
        <v>22</v>
      </c>
      <c r="C6" s="1" t="s">
        <v>17</v>
      </c>
      <c r="D6" s="8">
        <v>7.0000000000000007E-2</v>
      </c>
      <c r="E6" s="11"/>
      <c r="F6" s="1"/>
      <c r="G6" s="1" t="s">
        <v>23</v>
      </c>
      <c r="I6" s="8" t="str">
        <f t="shared" si="0"/>
        <v/>
      </c>
    </row>
    <row r="7" spans="1:12" x14ac:dyDescent="0.25">
      <c r="A7" s="1">
        <v>6</v>
      </c>
      <c r="B7" s="1" t="s">
        <v>24</v>
      </c>
      <c r="C7" s="1" t="s">
        <v>17</v>
      </c>
      <c r="D7" s="8">
        <v>7.0000000000000007E-2</v>
      </c>
      <c r="E7" s="11"/>
      <c r="F7" s="1"/>
      <c r="G7" s="1" t="s">
        <v>25</v>
      </c>
      <c r="I7" s="8" t="str">
        <f t="shared" si="0"/>
        <v/>
      </c>
    </row>
    <row r="8" spans="1:12" x14ac:dyDescent="0.25">
      <c r="A8" s="1">
        <v>7</v>
      </c>
      <c r="B8" s="1" t="s">
        <v>26</v>
      </c>
      <c r="C8" s="1" t="s">
        <v>10</v>
      </c>
      <c r="D8" s="8">
        <v>0.12</v>
      </c>
      <c r="E8" s="11"/>
      <c r="F8" s="1"/>
      <c r="G8" s="1" t="s">
        <v>27</v>
      </c>
      <c r="I8" s="8" t="str">
        <f t="shared" si="0"/>
        <v/>
      </c>
    </row>
    <row r="9" spans="1:12" x14ac:dyDescent="0.25">
      <c r="A9" s="1">
        <v>8</v>
      </c>
      <c r="B9" s="1" t="s">
        <v>28</v>
      </c>
      <c r="C9" s="1" t="s">
        <v>10</v>
      </c>
      <c r="D9" s="8">
        <v>0.12</v>
      </c>
      <c r="E9" s="11"/>
      <c r="F9" s="1"/>
      <c r="G9" s="1" t="s">
        <v>29</v>
      </c>
      <c r="I9" s="8" t="str">
        <f t="shared" si="0"/>
        <v/>
      </c>
    </row>
    <row r="10" spans="1:12" x14ac:dyDescent="0.25">
      <c r="A10" s="1">
        <v>9</v>
      </c>
      <c r="B10" s="1" t="s">
        <v>30</v>
      </c>
      <c r="C10" s="1" t="s">
        <v>17</v>
      </c>
      <c r="D10" s="8">
        <v>7.0000000000000007E-2</v>
      </c>
      <c r="E10" s="11"/>
      <c r="F10" s="1"/>
      <c r="G10" s="1" t="s">
        <v>31</v>
      </c>
      <c r="I10" s="8" t="str">
        <f t="shared" si="0"/>
        <v/>
      </c>
    </row>
    <row r="11" spans="1:12" x14ac:dyDescent="0.25">
      <c r="A11" s="1">
        <v>10</v>
      </c>
      <c r="B11" s="1" t="s">
        <v>32</v>
      </c>
      <c r="C11" s="1" t="s">
        <v>10</v>
      </c>
      <c r="D11" s="8">
        <v>0.12</v>
      </c>
      <c r="E11" s="11"/>
      <c r="F11" s="1"/>
      <c r="G11" s="1" t="s">
        <v>33</v>
      </c>
      <c r="I11" s="8" t="str">
        <f t="shared" si="0"/>
        <v/>
      </c>
    </row>
    <row r="12" spans="1:12" x14ac:dyDescent="0.25">
      <c r="A12" s="1">
        <v>11</v>
      </c>
      <c r="B12" s="1" t="s">
        <v>34</v>
      </c>
      <c r="C12" s="1" t="s">
        <v>17</v>
      </c>
      <c r="D12" s="8">
        <v>7.0000000000000007E-2</v>
      </c>
      <c r="E12" s="11"/>
      <c r="F12" s="1"/>
      <c r="G12" s="1" t="s">
        <v>35</v>
      </c>
      <c r="I12" s="8" t="str">
        <f t="shared" si="0"/>
        <v/>
      </c>
    </row>
    <row r="14" spans="1:12" x14ac:dyDescent="0.25">
      <c r="H14" s="6" t="s">
        <v>36</v>
      </c>
      <c r="I14" s="8">
        <f>SUM(I2:I12)</f>
        <v>0</v>
      </c>
    </row>
    <row r="15" spans="1:12" x14ac:dyDescent="0.25">
      <c r="H15" s="6" t="s">
        <v>37</v>
      </c>
      <c r="I15" s="8">
        <f>SUM(D2:D12)</f>
        <v>1</v>
      </c>
    </row>
    <row r="16" spans="1:12" x14ac:dyDescent="0.25">
      <c r="H16" s="6" t="s">
        <v>38</v>
      </c>
      <c r="I16" s="10">
        <f>IF(AND(ISNUMBER($I14), ISNUMBER($I15), $I15&lt;&gt;0), $I14/$I15 * 5, "")</f>
        <v>0</v>
      </c>
    </row>
    <row r="17" spans="1:9" x14ac:dyDescent="0.25">
      <c r="H17" s="6" t="s">
        <v>39</v>
      </c>
      <c r="I17" s="8">
        <f>IF(ISNUMBER($I16), $I16/5, "")</f>
        <v>0</v>
      </c>
    </row>
    <row r="19" spans="1:9" x14ac:dyDescent="0.25">
      <c r="A19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selection sqref="A1:D1"/>
    </sheetView>
  </sheetViews>
  <sheetFormatPr defaultRowHeight="15" x14ac:dyDescent="0.25"/>
  <cols>
    <col min="1" max="1" width="23.85546875" bestFit="1" customWidth="1"/>
    <col min="2" max="2" width="55.85546875" bestFit="1" customWidth="1"/>
    <col min="3" max="3" width="81.85546875" bestFit="1" customWidth="1"/>
    <col min="4" max="4" width="68" bestFit="1" customWidth="1"/>
  </cols>
  <sheetData>
    <row r="1" spans="1:4" x14ac:dyDescent="0.25">
      <c r="A1" s="7" t="s">
        <v>41</v>
      </c>
      <c r="B1" s="7" t="s">
        <v>42</v>
      </c>
      <c r="C1" s="7" t="s">
        <v>43</v>
      </c>
      <c r="D1" s="7" t="s">
        <v>44</v>
      </c>
    </row>
    <row r="2" spans="1:4" x14ac:dyDescent="0.25">
      <c r="A2" s="1" t="s">
        <v>45</v>
      </c>
      <c r="B2" s="1" t="s">
        <v>46</v>
      </c>
      <c r="C2" s="1" t="s">
        <v>47</v>
      </c>
      <c r="D2" s="1" t="s">
        <v>48</v>
      </c>
    </row>
    <row r="3" spans="1:4" x14ac:dyDescent="0.25">
      <c r="A3" s="1" t="s">
        <v>49</v>
      </c>
      <c r="B3" s="1" t="s">
        <v>50</v>
      </c>
      <c r="C3" s="1" t="s">
        <v>51</v>
      </c>
      <c r="D3" s="1" t="s">
        <v>52</v>
      </c>
    </row>
    <row r="4" spans="1:4" x14ac:dyDescent="0.25">
      <c r="A4" s="1" t="s">
        <v>53</v>
      </c>
      <c r="B4" s="1" t="s">
        <v>54</v>
      </c>
      <c r="C4" s="1" t="s">
        <v>55</v>
      </c>
      <c r="D4" s="1" t="s">
        <v>56</v>
      </c>
    </row>
    <row r="5" spans="1:4" x14ac:dyDescent="0.25">
      <c r="A5" s="1" t="s">
        <v>57</v>
      </c>
      <c r="B5" s="1" t="s">
        <v>58</v>
      </c>
      <c r="C5" s="1" t="s">
        <v>59</v>
      </c>
      <c r="D5" s="1" t="s">
        <v>60</v>
      </c>
    </row>
    <row r="6" spans="1:4" x14ac:dyDescent="0.25">
      <c r="A6" s="1" t="s">
        <v>61</v>
      </c>
      <c r="B6" s="1" t="s">
        <v>62</v>
      </c>
      <c r="C6" s="1" t="s">
        <v>63</v>
      </c>
      <c r="D6" s="1" t="s">
        <v>64</v>
      </c>
    </row>
    <row r="7" spans="1:4" x14ac:dyDescent="0.25">
      <c r="A7" s="1" t="s">
        <v>65</v>
      </c>
      <c r="B7" s="1" t="s">
        <v>66</v>
      </c>
      <c r="C7" s="1" t="s">
        <v>67</v>
      </c>
      <c r="D7" s="1" t="s">
        <v>68</v>
      </c>
    </row>
    <row r="8" spans="1:4" x14ac:dyDescent="0.25">
      <c r="A8" s="1" t="s">
        <v>69</v>
      </c>
      <c r="B8" s="1" t="s">
        <v>70</v>
      </c>
      <c r="C8" s="1" t="s">
        <v>71</v>
      </c>
      <c r="D8" s="1" t="s">
        <v>72</v>
      </c>
    </row>
    <row r="9" spans="1:4" x14ac:dyDescent="0.25">
      <c r="A9" s="1" t="s">
        <v>73</v>
      </c>
      <c r="B9" s="1" t="s">
        <v>74</v>
      </c>
      <c r="C9" s="1" t="s">
        <v>75</v>
      </c>
      <c r="D9" s="1" t="s">
        <v>76</v>
      </c>
    </row>
    <row r="10" spans="1:4" x14ac:dyDescent="0.25">
      <c r="A10" s="1" t="s">
        <v>77</v>
      </c>
      <c r="B10" s="1" t="s">
        <v>78</v>
      </c>
      <c r="C10" s="1" t="s">
        <v>79</v>
      </c>
      <c r="D10" s="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sqref="A1:E1"/>
    </sheetView>
  </sheetViews>
  <sheetFormatPr defaultRowHeight="15" x14ac:dyDescent="0.25"/>
  <cols>
    <col min="1" max="1" width="5" bestFit="1" customWidth="1"/>
    <col min="2" max="2" width="35.5703125" bestFit="1" customWidth="1"/>
    <col min="3" max="3" width="36.140625" bestFit="1" customWidth="1"/>
    <col min="4" max="4" width="40" bestFit="1" customWidth="1"/>
    <col min="5" max="5" width="59" bestFit="1" customWidth="1"/>
  </cols>
  <sheetData>
    <row r="1" spans="1:5" x14ac:dyDescent="0.25">
      <c r="A1" s="7" t="s">
        <v>0</v>
      </c>
      <c r="B1" s="7" t="s">
        <v>81</v>
      </c>
      <c r="C1" s="7" t="s">
        <v>82</v>
      </c>
      <c r="D1" s="7" t="s">
        <v>83</v>
      </c>
      <c r="E1" s="7" t="s">
        <v>84</v>
      </c>
    </row>
    <row r="2" spans="1:5" x14ac:dyDescent="0.25">
      <c r="A2" s="1">
        <v>1</v>
      </c>
      <c r="B2" s="1" t="s">
        <v>85</v>
      </c>
      <c r="C2" s="1" t="s">
        <v>86</v>
      </c>
      <c r="D2" s="1" t="s">
        <v>87</v>
      </c>
      <c r="E2" s="1" t="s">
        <v>88</v>
      </c>
    </row>
    <row r="3" spans="1:5" x14ac:dyDescent="0.25">
      <c r="A3" s="1">
        <v>2</v>
      </c>
      <c r="B3" s="1" t="s">
        <v>89</v>
      </c>
      <c r="C3" s="1" t="s">
        <v>90</v>
      </c>
      <c r="D3" s="1" t="s">
        <v>91</v>
      </c>
      <c r="E3" s="1" t="s">
        <v>92</v>
      </c>
    </row>
    <row r="4" spans="1:5" x14ac:dyDescent="0.25">
      <c r="A4" s="1">
        <v>3</v>
      </c>
      <c r="B4" s="1" t="s">
        <v>93</v>
      </c>
      <c r="C4" s="1" t="s">
        <v>94</v>
      </c>
      <c r="D4" s="1" t="s">
        <v>95</v>
      </c>
      <c r="E4" s="1" t="s">
        <v>96</v>
      </c>
    </row>
    <row r="5" spans="1:5" x14ac:dyDescent="0.25">
      <c r="A5" s="1">
        <v>4</v>
      </c>
      <c r="B5" s="1" t="s">
        <v>97</v>
      </c>
      <c r="C5" s="1" t="s">
        <v>98</v>
      </c>
      <c r="D5" s="1" t="s">
        <v>99</v>
      </c>
      <c r="E5" s="1" t="s">
        <v>100</v>
      </c>
    </row>
    <row r="6" spans="1:5" x14ac:dyDescent="0.25">
      <c r="A6" s="1">
        <v>5</v>
      </c>
      <c r="B6" s="1" t="s">
        <v>101</v>
      </c>
      <c r="C6" s="1" t="s">
        <v>102</v>
      </c>
      <c r="D6" s="1" t="s">
        <v>103</v>
      </c>
      <c r="E6" s="1" t="s">
        <v>104</v>
      </c>
    </row>
    <row r="7" spans="1:5" x14ac:dyDescent="0.25">
      <c r="A7" s="1">
        <v>6</v>
      </c>
      <c r="B7" s="1" t="s">
        <v>105</v>
      </c>
      <c r="C7" s="1" t="s">
        <v>106</v>
      </c>
      <c r="D7" s="1" t="s">
        <v>107</v>
      </c>
      <c r="E7" s="1" t="s">
        <v>108</v>
      </c>
    </row>
    <row r="8" spans="1:5" x14ac:dyDescent="0.25">
      <c r="A8" s="1">
        <v>7</v>
      </c>
      <c r="B8" s="1" t="s">
        <v>109</v>
      </c>
      <c r="C8" s="1" t="s">
        <v>110</v>
      </c>
      <c r="D8" s="1" t="s">
        <v>111</v>
      </c>
      <c r="E8" s="1" t="s">
        <v>112</v>
      </c>
    </row>
    <row r="9" spans="1:5" x14ac:dyDescent="0.25">
      <c r="A9" s="1">
        <v>8</v>
      </c>
      <c r="B9" s="1" t="s">
        <v>113</v>
      </c>
      <c r="C9" s="1" t="s">
        <v>114</v>
      </c>
      <c r="D9" s="1" t="s">
        <v>115</v>
      </c>
      <c r="E9" s="1" t="s">
        <v>116</v>
      </c>
    </row>
    <row r="10" spans="1:5" x14ac:dyDescent="0.25">
      <c r="A10" s="1">
        <v>9</v>
      </c>
      <c r="B10" s="1" t="s">
        <v>117</v>
      </c>
      <c r="C10" s="1" t="s">
        <v>118</v>
      </c>
      <c r="D10" s="1" t="s">
        <v>119</v>
      </c>
      <c r="E10" s="1" t="s">
        <v>120</v>
      </c>
    </row>
    <row r="11" spans="1:5" x14ac:dyDescent="0.25">
      <c r="A11" s="1">
        <v>10</v>
      </c>
      <c r="B11" s="1" t="s">
        <v>121</v>
      </c>
      <c r="C11" s="1" t="s">
        <v>122</v>
      </c>
      <c r="D11" s="1" t="s">
        <v>123</v>
      </c>
      <c r="E11" s="1" t="s">
        <v>124</v>
      </c>
    </row>
    <row r="12" spans="1:5" x14ac:dyDescent="0.25">
      <c r="A12" s="1">
        <v>11</v>
      </c>
      <c r="B12" s="1" t="s">
        <v>125</v>
      </c>
      <c r="C12" s="1" t="s">
        <v>126</v>
      </c>
      <c r="D12" s="1" t="s">
        <v>127</v>
      </c>
      <c r="E12" s="1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>
      <selection activeCell="G18" sqref="G18"/>
    </sheetView>
  </sheetViews>
  <sheetFormatPr defaultRowHeight="15" x14ac:dyDescent="0.25"/>
  <cols>
    <col min="1" max="1" width="5" bestFit="1" customWidth="1"/>
    <col min="2" max="2" width="36.140625" bestFit="1" customWidth="1"/>
    <col min="3" max="3" width="29.42578125" bestFit="1" customWidth="1"/>
    <col min="4" max="4" width="54.140625" bestFit="1" customWidth="1"/>
    <col min="5" max="5" width="9.7109375" bestFit="1" customWidth="1"/>
    <col min="6" max="6" width="10.7109375" bestFit="1" customWidth="1"/>
    <col min="7" max="9" width="11.7109375" bestFit="1" customWidth="1"/>
    <col min="10" max="10" width="97.42578125" bestFit="1" customWidth="1"/>
  </cols>
  <sheetData>
    <row r="1" spans="1:10" x14ac:dyDescent="0.25">
      <c r="A1" s="7" t="s">
        <v>0</v>
      </c>
      <c r="B1" s="7" t="s">
        <v>82</v>
      </c>
      <c r="C1" s="7" t="s">
        <v>129</v>
      </c>
      <c r="D1" s="7" t="s">
        <v>130</v>
      </c>
      <c r="E1" s="7" t="s">
        <v>2</v>
      </c>
      <c r="F1" s="7" t="s">
        <v>3</v>
      </c>
    </row>
    <row r="2" spans="1:10" x14ac:dyDescent="0.25">
      <c r="A2" s="1">
        <v>1</v>
      </c>
      <c r="B2" s="1" t="s">
        <v>86</v>
      </c>
      <c r="C2" s="1" t="s">
        <v>131</v>
      </c>
      <c r="D2" s="1" t="s">
        <v>132</v>
      </c>
      <c r="E2" s="1" t="s">
        <v>10</v>
      </c>
      <c r="F2" s="8">
        <f>VLOOKUP(E2,'Quality Evaluation Form'!C:D,2,0)</f>
        <v>0.12</v>
      </c>
      <c r="I2" s="2" t="s">
        <v>10</v>
      </c>
      <c r="J2" s="1" t="s">
        <v>133</v>
      </c>
    </row>
    <row r="3" spans="1:10" x14ac:dyDescent="0.25">
      <c r="A3" s="1">
        <v>2</v>
      </c>
      <c r="B3" s="1" t="s">
        <v>90</v>
      </c>
      <c r="C3" s="1" t="s">
        <v>91</v>
      </c>
      <c r="D3" s="1" t="s">
        <v>134</v>
      </c>
      <c r="E3" s="1" t="s">
        <v>10</v>
      </c>
      <c r="F3" s="8">
        <f>VLOOKUP(E3,'Quality Evaluation Form'!C:D,2,0)</f>
        <v>0.12</v>
      </c>
      <c r="I3" s="2" t="s">
        <v>17</v>
      </c>
      <c r="J3" s="1" t="s">
        <v>135</v>
      </c>
    </row>
    <row r="4" spans="1:10" x14ac:dyDescent="0.25">
      <c r="A4" s="1">
        <v>3</v>
      </c>
      <c r="B4" s="1" t="s">
        <v>136</v>
      </c>
      <c r="C4" s="1" t="s">
        <v>137</v>
      </c>
      <c r="D4" s="1" t="s">
        <v>138</v>
      </c>
      <c r="E4" s="1" t="s">
        <v>17</v>
      </c>
      <c r="F4" s="8">
        <f>VLOOKUP(E4,'Quality Evaluation Form'!C:D,2,0)</f>
        <v>7.0000000000000007E-2</v>
      </c>
      <c r="I4" s="2" t="s">
        <v>20</v>
      </c>
      <c r="J4" s="1" t="s">
        <v>139</v>
      </c>
    </row>
    <row r="5" spans="1:10" x14ac:dyDescent="0.25">
      <c r="A5" s="1">
        <v>4</v>
      </c>
      <c r="B5" s="1" t="s">
        <v>98</v>
      </c>
      <c r="C5" s="1" t="s">
        <v>140</v>
      </c>
      <c r="D5" s="1" t="s">
        <v>141</v>
      </c>
      <c r="E5" s="1" t="s">
        <v>20</v>
      </c>
      <c r="F5" s="8">
        <f>VLOOKUP(E5,'Quality Evaluation Form'!C:D,2,0)</f>
        <v>0.05</v>
      </c>
    </row>
    <row r="6" spans="1:10" x14ac:dyDescent="0.25">
      <c r="A6" s="1">
        <v>5</v>
      </c>
      <c r="B6" s="1" t="s">
        <v>142</v>
      </c>
      <c r="C6" s="1" t="s">
        <v>143</v>
      </c>
      <c r="D6" s="1" t="s">
        <v>144</v>
      </c>
      <c r="E6" s="1" t="s">
        <v>10</v>
      </c>
      <c r="F6" s="8">
        <f>VLOOKUP(E6,'Quality Evaluation Form'!C:D,2,0)</f>
        <v>0.12</v>
      </c>
    </row>
    <row r="7" spans="1:10" x14ac:dyDescent="0.25">
      <c r="A7" s="1">
        <v>6</v>
      </c>
      <c r="B7" s="1" t="s">
        <v>106</v>
      </c>
      <c r="C7" s="1" t="s">
        <v>99</v>
      </c>
      <c r="D7" s="1" t="s">
        <v>145</v>
      </c>
      <c r="E7" s="1" t="s">
        <v>17</v>
      </c>
      <c r="F7" s="8">
        <f>VLOOKUP(E7,'Quality Evaluation Form'!C:D,2,0)</f>
        <v>7.0000000000000007E-2</v>
      </c>
    </row>
    <row r="8" spans="1:10" x14ac:dyDescent="0.25">
      <c r="A8" s="1">
        <v>7</v>
      </c>
      <c r="B8" s="1" t="s">
        <v>110</v>
      </c>
      <c r="C8" s="1" t="s">
        <v>146</v>
      </c>
      <c r="D8" s="1" t="s">
        <v>147</v>
      </c>
      <c r="E8" s="1" t="s">
        <v>10</v>
      </c>
      <c r="F8" s="8">
        <f>VLOOKUP(E8,'Quality Evaluation Form'!C:D,2,0)</f>
        <v>0.12</v>
      </c>
    </row>
    <row r="9" spans="1:10" x14ac:dyDescent="0.25">
      <c r="A9" s="1">
        <v>8</v>
      </c>
      <c r="B9" s="1" t="s">
        <v>148</v>
      </c>
      <c r="C9" s="1" t="s">
        <v>115</v>
      </c>
      <c r="D9" s="1" t="s">
        <v>149</v>
      </c>
      <c r="E9" s="1" t="s">
        <v>17</v>
      </c>
      <c r="F9" s="8">
        <f>VLOOKUP(E9,'Quality Evaluation Form'!C:D,2,0)</f>
        <v>7.0000000000000007E-2</v>
      </c>
    </row>
    <row r="10" spans="1:10" x14ac:dyDescent="0.25">
      <c r="A10" s="1">
        <v>9</v>
      </c>
      <c r="B10" s="1" t="s">
        <v>118</v>
      </c>
      <c r="C10" s="1" t="s">
        <v>119</v>
      </c>
      <c r="D10" s="1" t="s">
        <v>150</v>
      </c>
      <c r="E10" s="1" t="s">
        <v>17</v>
      </c>
      <c r="F10" s="8">
        <f>VLOOKUP(E10,'Quality Evaluation Form'!C:D,2,0)</f>
        <v>7.0000000000000007E-2</v>
      </c>
    </row>
    <row r="11" spans="1:10" x14ac:dyDescent="0.25">
      <c r="A11" s="1">
        <v>10</v>
      </c>
      <c r="B11" s="1" t="s">
        <v>122</v>
      </c>
      <c r="C11" s="1" t="s">
        <v>151</v>
      </c>
      <c r="D11" s="1" t="s">
        <v>152</v>
      </c>
      <c r="E11" s="1" t="s">
        <v>20</v>
      </c>
      <c r="F11" s="8">
        <f>VLOOKUP(E11,'Quality Evaluation Form'!C:D,2,0)</f>
        <v>0.05</v>
      </c>
    </row>
    <row r="12" spans="1:10" x14ac:dyDescent="0.25">
      <c r="A12" s="1">
        <v>11</v>
      </c>
      <c r="B12" s="1" t="s">
        <v>126</v>
      </c>
      <c r="C12" s="1" t="s">
        <v>153</v>
      </c>
      <c r="D12" s="1" t="s">
        <v>154</v>
      </c>
      <c r="E12" s="1" t="s">
        <v>17</v>
      </c>
      <c r="F12" s="8">
        <f>VLOOKUP(E12,'Quality Evaluation Form'!C:D,2,0)</f>
        <v>7.0000000000000007E-2</v>
      </c>
    </row>
    <row r="13" spans="1:10" x14ac:dyDescent="0.25">
      <c r="A13" s="1">
        <v>12</v>
      </c>
      <c r="B13" s="1" t="s">
        <v>94</v>
      </c>
      <c r="C13" s="1" t="s">
        <v>95</v>
      </c>
      <c r="D13" s="1" t="s">
        <v>96</v>
      </c>
      <c r="E13" s="1" t="s">
        <v>17</v>
      </c>
      <c r="F13" s="8">
        <f>VLOOKUP(E13,'Quality Evaluation Form'!C:D,2,0)</f>
        <v>7.0000000000000007E-2</v>
      </c>
    </row>
    <row r="14" spans="1:10" x14ac:dyDescent="0.25">
      <c r="A14" s="1">
        <v>13</v>
      </c>
      <c r="B14" s="1" t="s">
        <v>102</v>
      </c>
      <c r="C14" s="1" t="s">
        <v>103</v>
      </c>
      <c r="D14" s="1" t="s">
        <v>104</v>
      </c>
      <c r="E14" s="1" t="s">
        <v>17</v>
      </c>
      <c r="F14" s="8">
        <f>VLOOKUP(E14,'Quality Evaluation Form'!C:D,2,0)</f>
        <v>7.0000000000000007E-2</v>
      </c>
    </row>
    <row r="15" spans="1:10" x14ac:dyDescent="0.25">
      <c r="A15" s="1">
        <v>14</v>
      </c>
      <c r="B15" s="1" t="s">
        <v>114</v>
      </c>
      <c r="C15" s="1" t="s">
        <v>115</v>
      </c>
      <c r="D15" s="1" t="s">
        <v>116</v>
      </c>
      <c r="E15" s="1" t="s">
        <v>17</v>
      </c>
      <c r="F15" s="8">
        <f>VLOOKUP(E15,'Quality Evaluation Form'!C:D,2,0)</f>
        <v>7.0000000000000007E-2</v>
      </c>
    </row>
  </sheetData>
  <pageMargins left="0.75" right="0.75" top="1" bottom="1" header="0.5" footer="0.5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Evaluation Form</vt:lpstr>
      <vt:lpstr>Process Flow Mapping</vt:lpstr>
      <vt:lpstr>Fracture Point Analysis</vt:lpstr>
      <vt:lpstr>Criticality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Sailesh Das</cp:lastModifiedBy>
  <cp:revision/>
  <dcterms:created xsi:type="dcterms:W3CDTF">2026-04-02T10:31:33Z</dcterms:created>
  <dcterms:modified xsi:type="dcterms:W3CDTF">2026-04-02T12:41:55Z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2026-04-02T10:33:28Z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9a6b4fe3-8b94-44fd-8e0c-c105e6150bca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10, 0, 1, 2</vt:lpwstr>
  </property>
</Properties>
</file>